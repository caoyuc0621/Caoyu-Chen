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0cdaa9c8f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5d6923497154bdf"/>
    <x:sheet xmlns:r="http://schemas.openxmlformats.org/officeDocument/2006/relationships" name="Legend_Key" sheetId="2" r:id="R514f78db14044d5b"/>
    <x:sheet xmlns:r="http://schemas.openxmlformats.org/officeDocument/2006/relationships" name="Inputs" sheetId="3" r:id="Rec4b0e7574c542a8"/>
    <x:sheet xmlns:r="http://schemas.openxmlformats.org/officeDocument/2006/relationships" name="Forward_Hedge" sheetId="4" r:id="Rdb99affa2be44b9d"/>
    <x:sheet xmlns:r="http://schemas.openxmlformats.org/officeDocument/2006/relationships" name="Money_Market_Hedge" sheetId="5" r:id="Rd15a6859314e459e"/>
    <x:sheet xmlns:r="http://schemas.openxmlformats.org/officeDocument/2006/relationships" name="Options_Hedge" sheetId="6" r:id="R6b0cf63461554ad2"/>
    <x:sheet xmlns:r="http://schemas.openxmlformats.org/officeDocument/2006/relationships" name="Sensitivity" sheetId="7" r:id="R7b12fe3b36694160"/>
    <x:sheet xmlns:r="http://schemas.openxmlformats.org/officeDocument/2006/relationships" name="Validation" sheetId="8" r:id="R694437b9e56a463a"/>
    <x:sheet xmlns:r="http://schemas.openxmlformats.org/officeDocument/2006/relationships" name="Notes_Assumptions" sheetId="9" r:id="R5e7ad3d78f754854"/>
  </x:sheets>
  <x:definedNames>
    <x:definedName name="FC_AMT">Inputs!$B$4</x:definedName>
    <x:definedName name="S0_in">Inputs!$B$5</x:definedName>
    <x:definedName name="F0_in">Inputs!$B$6</x:definedName>
    <x:definedName name="R_USD">Inputs!$B$7</x:definedName>
    <x:definedName name="R_FC">Inputs!$B$8</x:definedName>
    <x:definedName name="K_PUT">Inputs!$B$9</x:definedName>
    <x:definedName name="K_CALL">Inputs!$B$10</x:definedName>
    <x:definedName name="PREM_PUT">Inputs!$B$11</x:definedName>
    <x:definedName name="PREM_CALL">Inputs!$B$12</x:definedName>
    <x:definedName name="T_DAYS">Inputs!$B$13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0.0000"/>
    <x:numFmt numFmtId="202" formatCode="0.00%"/>
    <x:numFmt numFmtId="203" formatCode="0"/>
    <x:numFmt numFmtId="204" formatCode="$#,##0;[Red]($#,##0);-"/>
    <x:numFmt numFmtId="205" formatCode="$#,##0.00;[Red]($#,##0.00);-"/>
    <x:numFmt numFmtId="206" formatCode="0.000000"/>
    <x:numFmt numFmtId="207" formatCode="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FF0000"/>
      <x:name val="Carlito"/>
    </x:font>
    <x:font>
      <x:sz val="11"/>
      <x:color rgb="FF0000FF"/>
      <x:name val="Carlito"/>
    </x:font>
    <x:font>
      <x:b/>
      <x:sz val="11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3" fontId="5" fillId="4" borderId="0" xfId="0" applyNumberFormat="1" applyFont="1" applyFill="1" applyBorder="1"/>
    <x:xf numFmtId="203" fontId="5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4" fontId="7" fillId="6" borderId="0" xfId="0" applyNumberFormat="1" applyFont="1" applyFill="1" applyBorder="1"/>
    <x:xf numFmtId="204" fontId="2" fillId="3" borderId="0" xfId="0" applyNumberFormat="1" applyFont="1" applyFill="1" applyBorder="1"/>
    <x:xf numFmtId="204" fontId="7" fillId="6" borderId="1" xfId="0" applyNumberFormat="1" applyFont="1" applyFill="1" applyBorder="1"/>
    <x:xf numFmtId="204" fontId="2" fillId="3" borderId="1" xfId="0" applyNumberFormat="1" applyFont="1" applyFill="1" applyBorder="1"/>
    <x:xf numFmtId="201" fontId="7" fillId="6" borderId="0" xfId="0" applyNumberFormat="1" applyFont="1" applyFill="1" applyBorder="1"/>
    <x:xf numFmtId="201" fontId="7" fillId="6" borderId="1" xfId="0" applyNumberFormat="1" applyFont="1" applyFill="1" applyBorder="1"/>
    <x:xf numFmtId="205" fontId="7" fillId="6" borderId="0" xfId="0" applyNumberFormat="1" applyFont="1" applyFill="1" applyBorder="1"/>
    <x:xf numFmtId="205" fontId="2" fillId="3" borderId="0" xfId="0" applyNumberFormat="1" applyFont="1" applyFill="1" applyBorder="1"/>
    <x:xf numFmtId="205" fontId="7" fillId="6" borderId="1" xfId="0" applyNumberFormat="1" applyFont="1" applyFill="1" applyBorder="1"/>
    <x:xf numFmtId="205" fontId="2" fillId="3" borderId="1" xfId="0" applyNumberFormat="1" applyFont="1" applyFill="1" applyBorder="1"/>
    <x:xf numFmtId="206" fontId="7" fillId="6" borderId="0" xfId="0" applyNumberFormat="1" applyFont="1" applyFill="1" applyBorder="1"/>
    <x:xf numFmtId="206" fontId="7" fillId="6" borderId="1" xfId="0" applyNumberFormat="1" applyFont="1" applyFill="1" applyBorder="1"/>
    <x:xf numFmtId="207" fontId="7" fillId="6" borderId="0" xfId="0" applyNumberFormat="1" applyFont="1" applyFill="1" applyBorder="1"/>
    <x:xf numFmtId="207" fontId="7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fa26597c6450d" /><Relationship Type="http://schemas.openxmlformats.org/officeDocument/2006/relationships/theme" Target="/xl/theme/theme1.xml" Id="R226943f50ba544f1" /><Relationship Type="http://schemas.openxmlformats.org/officeDocument/2006/relationships/sharedStrings" Target="/xl/sharedStrings.xml" Id="Rfd11a2ae526d4c99" /><Relationship Type="http://schemas.openxmlformats.org/officeDocument/2006/relationships/worksheet" Target="/xl/worksheets/sheet1.xml" Id="R85d6923497154bdf" /><Relationship Type="http://schemas.openxmlformats.org/officeDocument/2006/relationships/worksheet" Target="/xl/worksheets/sheet2.xml" Id="R514f78db14044d5b" /><Relationship Type="http://schemas.openxmlformats.org/officeDocument/2006/relationships/worksheet" Target="/xl/worksheets/sheet3.xml" Id="Rec4b0e7574c542a8" /><Relationship Type="http://schemas.openxmlformats.org/officeDocument/2006/relationships/worksheet" Target="/xl/worksheets/sheet4.xml" Id="Rdb99affa2be44b9d" /><Relationship Type="http://schemas.openxmlformats.org/officeDocument/2006/relationships/worksheet" Target="/xl/worksheets/sheet5.xml" Id="Rd15a6859314e459e" /><Relationship Type="http://schemas.openxmlformats.org/officeDocument/2006/relationships/worksheet" Target="/xl/worksheets/sheet6.xml" Id="R6b0cf63461554ad2" /><Relationship Type="http://schemas.openxmlformats.org/officeDocument/2006/relationships/worksheet" Target="/xl/worksheets/sheet7.xml" Id="R7b12fe3b36694160" /><Relationship Type="http://schemas.openxmlformats.org/officeDocument/2006/relationships/worksheet" Target="/xl/worksheets/sheet8.xml" Id="R694437b9e56a463a" /><Relationship Type="http://schemas.openxmlformats.org/officeDocument/2006/relationships/worksheet" Target="/xl/worksheets/sheet9.xml" Id="R5e7ad3d78f7548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bdb6d70ac344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USD Proceeds by Hedge Strategy</a:t>
            </a:r>
          </a:p>
        </c:rich>
      </c:tx>
    </c:title>
    <c:plotArea>
      <c:lineChart>
        <c:grouping val="standard"/>
        <c:ser>
          <c:idx val="0"/>
          <c:order val="0"/>
          <c:tx>
            <c:v>Unhedged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'Sensitivity'!$C$4:$C$14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Forward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'Sensitivity'!$D$4:$D$14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Money Market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'Sensitivity'!$E$4:$E$14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Put Net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'Sensitivity'!$F$4:$F$14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Call Net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'Sensitivity'!$G$4:$G$14</c:f>
              <c:numCache>
                <c:formatCode>$#,##0;[Red]($#,##0);-</c:formatCode>
                <c:ptCount val="0"/>
              </c:numCache>
            </c:numRef>
          </c:val>
        </c:ser>
        <c:ser>
          <c:idx val="5"/>
          <c:order val="5"/>
          <c:tx>
            <c:v>Collar Net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'Sensitivity'!$H$4:$H$14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bdb6d70ac344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34ca66aa6e8458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52" hidden="0" customWidth="1"/>
  </x:cols>
  <x:sheetData>
    <x:row r="1" ht="28" customHeight="1">
      <x:c r="A1" s="5" t="str">
        <x:v>EUR Receivable Hedge Model</x:v>
      </x:c>
      <x:c r="B1" s="5"/>
      <x:c r="C1" s="5"/>
      <x:c r="D1" s="5"/>
      <x:c r="E1" s="5"/>
      <x:c r="F1" s="5"/>
    </x:row>
    <x:row r="3">
      <x:c r="A3" s="11" t="str">
        <x:v>Scenario</x:v>
      </x:c>
      <x:c r="B3" s="14" t="str">
        <x:v>EUR 4,500,000 receivable due in 365 days</x:v>
      </x:c>
    </x:row>
    <x:row r="4">
      <x:c r="A4" s="11" t="str">
        <x:v>Author</x:v>
      </x:c>
      <x:c r="B4" s="14" t="str">
        <x:v>Caoyu Chen</x:v>
      </x:c>
    </x:row>
    <x:row r="5">
      <x:c r="A5" s="11" t="str">
        <x:v>Build date</x:v>
      </x:c>
      <x:c r="B5" s="14" t="str">
        <x:v>2026-08-08</x:v>
      </x:c>
    </x:row>
    <x:row r="6">
      <x:c r="A6" s="11" t="str">
        <x:v>Spec version</x:v>
      </x:c>
      <x:c r="B6" s="14" t="str">
        <x:v>1.0</x:v>
      </x:c>
    </x:row>
    <x:row r="7">
      <x:c r="A7" s="11" t="str">
        <x:v>Purpose</x:v>
      </x:c>
      <x:c r="B7" s="14" t="str">
        <x:v>Compare unhedged, forward, money-market, purchased-put, sold-call, and collar outcomes.</x:v>
      </x:c>
    </x:row>
    <x:row r="8">
      <x:c r="A8" s="11" t="str">
        <x:v>Market-data status</x:v>
      </x:c>
      <x:c r="B8" s="14" t="str">
        <x:v>Indicative placeholders — replaced with live market data at Stage 4.</x:v>
      </x:c>
    </x:row>
    <x:row r="9">
      <x:c r="A9" s="11" t="str">
        <x:v>Executive summary</x:v>
      </x:c>
      <x:c r="B9" s="14" t="str">
        <x:v>Forward and money-market hedges provide certainty; the put protects downside while preserving upside at a premium cost; the collar reduces net premium cost but caps upside.</x:v>
      </x:c>
    </x:row>
    <x:row r="11">
      <x:c r="A11" s="18" t="str">
        <x:v>Data Provenance</x:v>
      </x:c>
      <x:c r="B11" s="18"/>
      <x:c r="C11" s="18"/>
    </x:row>
    <x:row r="12">
      <x:c r="A12" s="22" t="str">
        <x:v>Input family</x:v>
      </x:c>
      <x:c r="B12" s="22" t="str">
        <x:v>Current treatment</x:v>
      </x:c>
      <x:c r="C12" s="22" t="str">
        <x:v>Stage 4 replacement/source</x:v>
      </x:c>
    </x:row>
    <x:row r="13">
      <x:c r="A13" s="14" t="str">
        <x:v>Receivable</x:v>
      </x:c>
      <x:c r="B13" s="14" t="str">
        <x:v>Scenario placeholder</x:v>
      </x:c>
      <x:c r="C13" s="14" t="str">
        <x:v>Confirmed company receivable amount and settlement date</x:v>
      </x:c>
    </x:row>
    <x:row r="14">
      <x:c r="A14" s="14" t="str">
        <x:v>FX spot / forward</x:v>
      </x:c>
      <x:c r="B14" s="14" t="str">
        <x:v>Indicative placeholders</x:v>
      </x:c>
      <x:c r="C14" s="14" t="str">
        <x:v>Approved live EUR/USD spot and one-year forward quote</x:v>
      </x:c>
    </x:row>
    <x:row r="15">
      <x:c r="A15" s="14" t="str">
        <x:v>Interest rates</x:v>
      </x:c>
      <x:c r="B15" s="14" t="str">
        <x:v>Indicative placeholders</x:v>
      </x:c>
      <x:c r="C15" s="14" t="str">
        <x:v>Federal Reserve H.15/comparable USD rate; ECB/comparable EUR rate</x:v>
      </x:c>
    </x:row>
    <x:row r="16">
      <x:c r="A16" s="14" t="str">
        <x:v>Options</x:v>
      </x:c>
      <x:c r="B16" s="14" t="str">
        <x:v>Indicative strikes/premiums</x:v>
      </x:c>
      <x:c r="C16" s="14" t="str">
        <x:v>Approved dealer option quotes</x:v>
      </x:c>
    </x:row>
  </x:sheetData>
  <x:mergeCells>
    <x:mergeCell ref="A1:F1"/>
    <x:mergeCell ref="A11:C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28" hidden="0" customWidth="1"/>
  </x:cols>
  <x:sheetData>
    <x:row r="1" ht="28" customHeight="1">
      <x:c r="A1" s="5" t="str">
        <x:v>Legend / Key</x:v>
      </x:c>
      <x:c r="B1" s="5"/>
      <x:c r="C1" s="5"/>
      <x:c r="D1" s="5"/>
    </x:row>
    <x:row r="3">
      <x:c r="A3" s="18" t="str">
        <x:v>Color</x:v>
      </x:c>
      <x:c r="B3" s="18" t="str">
        <x:v>Meaning</x:v>
      </x:c>
      <x:c r="C3" s="18" t="str">
        <x:v>How used</x:v>
      </x:c>
    </x:row>
    <x:row r="4">
      <x:c r="A4" s="24" t="str">
        <x:v>Yellow</x:v>
      </x:c>
      <x:c r="B4" s="24" t="str">
        <x:v>Inputs</x:v>
      </x:c>
      <x:c r="C4" s="24" t="str">
        <x:v>Hardcoded values users can change</x:v>
      </x:c>
    </x:row>
    <x:row r="5">
      <x:c r="A5" s="26" t="str">
        <x:v>Blue</x:v>
      </x:c>
      <x:c r="B5" s="26" t="str">
        <x:v>Assumptions</x:v>
      </x:c>
      <x:c r="C5" s="26" t="str">
        <x:v>Model conventions / assumptions</x:v>
      </x:c>
    </x:row>
    <x:row r="6">
      <x:c r="A6" s="28" t="str">
        <x:v>Green</x:v>
      </x:c>
      <x:c r="B6" s="28" t="str">
        <x:v>Formulas</x:v>
      </x:c>
      <x:c r="C6" s="28" t="str">
        <x:v>Calculated cells</x:v>
      </x:c>
    </x:row>
    <x:row r="7">
      <x:c r="A7" s="10" t="str">
        <x:v>Gray</x:v>
      </x:c>
      <x:c r="B7" s="10" t="str">
        <x:v>Outputs</x:v>
      </x:c>
      <x:c r="C7" s="10" t="str">
        <x:v>Decision / summary outputs</x:v>
      </x:c>
    </x:row>
    <x:row r="8">
      <x:c r="A8" s="30" t="str">
        <x:v>Red text</x:v>
      </x:c>
      <x:c r="B8" s="30" t="str">
        <x:v>Warnings</x:v>
      </x:c>
      <x:c r="C8" s="30" t="str">
        <x:v>Failed checks or attention items</x:v>
      </x:c>
    </x:row>
    <x:row r="10">
      <x:c r="A10" s="18" t="str">
        <x:v>Required Named Range</x:v>
      </x:c>
      <x:c r="B10" s="18" t="str">
        <x:v>Definition</x:v>
      </x:c>
      <x:c r="C10" s="18" t="str">
        <x:v>Unit</x:v>
      </x:c>
    </x:row>
    <x:row r="11">
      <x:c r="A11" t="str">
        <x:v>FC_AMT</x:v>
      </x:c>
      <x:c r="B11" t="str">
        <x:v>Foreign-currency receivable</x:v>
      </x:c>
      <x:c r="C11" t="str">
        <x:v>EUR</x:v>
      </x:c>
    </x:row>
    <x:row r="12">
      <x:c r="A12" t="str">
        <x:v>S0_in</x:v>
      </x:c>
      <x:c r="B12" t="str">
        <x:v>Spot rate at inception</x:v>
      </x:c>
      <x:c r="C12" t="str">
        <x:v>USD/EUR</x:v>
      </x:c>
    </x:row>
    <x:row r="13">
      <x:c r="A13" t="str">
        <x:v>F0_in</x:v>
      </x:c>
      <x:c r="B13" t="str">
        <x:v>One-year forward rate</x:v>
      </x:c>
      <x:c r="C13" t="str">
        <x:v>USD/EUR</x:v>
      </x:c>
    </x:row>
    <x:row r="14">
      <x:c r="A14" t="str">
        <x:v>R_USD</x:v>
      </x:c>
      <x:c r="B14" t="str">
        <x:v>USD interest rate</x:v>
      </x:c>
      <x:c r="C14" t="str">
        <x:v>Annual %</x:v>
      </x:c>
    </x:row>
    <x:row r="15">
      <x:c r="A15" t="str">
        <x:v>R_FC</x:v>
      </x:c>
      <x:c r="B15" t="str">
        <x:v>EUR interest rate</x:v>
      </x:c>
      <x:c r="C15" t="str">
        <x:v>Annual %</x:v>
      </x:c>
    </x:row>
    <x:row r="16">
      <x:c r="A16" t="str">
        <x:v>K_PUT</x:v>
      </x:c>
      <x:c r="B16" t="str">
        <x:v>Put strike</x:v>
      </x:c>
      <x:c r="C16" t="str">
        <x:v>USD/EUR</x:v>
      </x:c>
    </x:row>
    <x:row r="17">
      <x:c r="A17" t="str">
        <x:v>K_CALL</x:v>
      </x:c>
      <x:c r="B17" t="str">
        <x:v>Call strike</x:v>
      </x:c>
      <x:c r="C17" t="str">
        <x:v>USD/EUR</x:v>
      </x:c>
    </x:row>
    <x:row r="18">
      <x:c r="A18" t="str">
        <x:v>PREM_PUT</x:v>
      </x:c>
      <x:c r="B18" t="str">
        <x:v>Put premium per EUR</x:v>
      </x:c>
      <x:c r="C18" t="str">
        <x:v>USD/EUR</x:v>
      </x:c>
    </x:row>
    <x:row r="19">
      <x:c r="A19" t="str">
        <x:v>PREM_CALL</x:v>
      </x:c>
      <x:c r="B19" t="str">
        <x:v>Call premium per EUR</x:v>
      </x:c>
      <x:c r="C19" t="str">
        <x:v>USD/EUR</x:v>
      </x:c>
    </x:row>
    <x:row r="20">
      <x:c r="A20" t="str">
        <x:v>T_DAYS</x:v>
      </x:c>
      <x:c r="B20" t="str">
        <x:v>Days to settlement</x:v>
      </x:c>
      <x:c r="C20" t="str">
        <x:v>Days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52" hidden="0" customWidth="1"/>
    <x:col min="5" max="5" width="16" hidden="0" customWidth="1"/>
    <x:col min="6" max="6" width="30" hidden="0" customWidth="1"/>
  </x:cols>
  <x:sheetData>
    <x:row r="1" ht="28" customHeight="1">
      <x:c r="A1" s="44" t="str">
        <x:v>Inputs — Named-Range Contract</x:v>
      </x:c>
      <x:c r="B1" s="44"/>
      <x:c r="C1" s="44"/>
      <x:c r="D1" s="44"/>
      <x:c r="E1" s="44"/>
      <x:c r="F1" s="44"/>
    </x:row>
    <x:row r="3">
      <x:c r="A3" s="18" t="str">
        <x:v>Named Range</x:v>
      </x:c>
      <x:c r="B3" s="18" t="str">
        <x:v>Indicative Placeholder</x:v>
      </x:c>
      <x:c r="C3" s="18" t="str">
        <x:v>Unit</x:v>
      </x:c>
      <x:c r="D3" s="18" t="str">
        <x:v>Stage 4 Source</x:v>
      </x:c>
      <x:c r="E3" s="18" t="str">
        <x:v>Status</x:v>
      </x:c>
      <x:c r="F3" s="18" t="str">
        <x:v>Description</x:v>
      </x:c>
    </x:row>
    <x:row r="4">
      <x:c r="A4" s="34" t="str">
        <x:v>FC_AMT</x:v>
      </x:c>
      <x:c r="B4" s="36" t="n">
        <x:v>4500000</x:v>
      </x:c>
      <x:c r="C4" t="str">
        <x:v>EUR</x:v>
      </x:c>
      <x:c r="D4" t="str">
        <x:v>Confirmed receivable amount from company records</x:v>
      </x:c>
      <x:c r="E4" t="str">
        <x:v>Indicative</x:v>
      </x:c>
      <x:c r="F4" t="str">
        <x:v>Foreign-currency receivable</x:v>
      </x:c>
    </x:row>
    <x:row r="5">
      <x:c r="A5" s="34" t="str">
        <x:v>S0_in</x:v>
      </x:c>
      <x:c r="B5" s="38" t="n">
        <x:v>1.1</x:v>
      </x:c>
      <x:c r="C5" t="str">
        <x:v>USD/EUR</x:v>
      </x:c>
      <x:c r="D5" t="str">
        <x:v>Approved live EUR/USD spot quote</x:v>
      </x:c>
      <x:c r="E5" t="str">
        <x:v>Indicative</x:v>
      </x:c>
      <x:c r="F5" t="str">
        <x:v>Spot rate at inception</x:v>
      </x:c>
    </x:row>
    <x:row r="6">
      <x:c r="A6" s="34" t="str">
        <x:v>F0_in</x:v>
      </x:c>
      <x:c r="B6" s="38" t="n">
        <x:v>1.1238</x:v>
      </x:c>
      <x:c r="C6" t="str">
        <x:v>USD/EUR</x:v>
      </x:c>
      <x:c r="D6" t="str">
        <x:v>Approved live one-year EUR/USD forward quote</x:v>
      </x:c>
      <x:c r="E6" t="str">
        <x:v>Indicative</x:v>
      </x:c>
      <x:c r="F6" t="str">
        <x:v>Forward rate</x:v>
      </x:c>
    </x:row>
    <x:row r="7">
      <x:c r="A7" s="34" t="str">
        <x:v>R_USD</x:v>
      </x:c>
      <x:c r="B7" s="40" t="n">
        <x:v>0.053</x:v>
      </x:c>
      <x:c r="C7" t="str">
        <x:v>Annual %, ACT/360</x:v>
      </x:c>
      <x:c r="D7" t="str">
        <x:v>Federal Reserve H.15 or comparable USD money-market rate</x:v>
      </x:c>
      <x:c r="E7" t="str">
        <x:v>Indicative</x:v>
      </x:c>
      <x:c r="F7" t="str">
        <x:v>USD interest rate</x:v>
      </x:c>
    </x:row>
    <x:row r="8">
      <x:c r="A8" s="34" t="str">
        <x:v>R_FC</x:v>
      </x:c>
      <x:c r="B8" s="40" t="n">
        <x:v>0.031</x:v>
      </x:c>
      <x:c r="C8" t="str">
        <x:v>Annual %, ACT/360</x:v>
      </x:c>
      <x:c r="D8" t="str">
        <x:v>ECB or comparable EUR money-market rate</x:v>
      </x:c>
      <x:c r="E8" t="str">
        <x:v>Indicative</x:v>
      </x:c>
      <x:c r="F8" t="str">
        <x:v>EUR interest rate</x:v>
      </x:c>
    </x:row>
    <x:row r="9">
      <x:c r="A9" s="34" t="str">
        <x:v>K_PUT</x:v>
      </x:c>
      <x:c r="B9" s="38" t="n">
        <x:v>1.1</x:v>
      </x:c>
      <x:c r="C9" t="str">
        <x:v>USD/EUR</x:v>
      </x:c>
      <x:c r="D9" t="str">
        <x:v>Approved dealer EUR put quote</x:v>
      </x:c>
      <x:c r="E9" t="str">
        <x:v>Indicative</x:v>
      </x:c>
      <x:c r="F9" t="str">
        <x:v>Put strike</x:v>
      </x:c>
    </x:row>
    <x:row r="10">
      <x:c r="A10" s="34" t="str">
        <x:v>K_CALL</x:v>
      </x:c>
      <x:c r="B10" s="38" t="n">
        <x:v>1.15</x:v>
      </x:c>
      <x:c r="C10" t="str">
        <x:v>USD/EUR</x:v>
      </x:c>
      <x:c r="D10" t="str">
        <x:v>Approved dealer EUR call quote</x:v>
      </x:c>
      <x:c r="E10" t="str">
        <x:v>Indicative</x:v>
      </x:c>
      <x:c r="F10" t="str">
        <x:v>Call strike</x:v>
      </x:c>
    </x:row>
    <x:row r="11">
      <x:c r="A11" s="34" t="str">
        <x:v>PREM_PUT</x:v>
      </x:c>
      <x:c r="B11" s="38" t="n">
        <x:v>0.02</x:v>
      </x:c>
      <x:c r="C11" t="str">
        <x:v>USD/EUR</x:v>
      </x:c>
      <x:c r="D11" t="str">
        <x:v>Approved dealer put premium</x:v>
      </x:c>
      <x:c r="E11" t="str">
        <x:v>Indicative</x:v>
      </x:c>
      <x:c r="F11" t="str">
        <x:v>Put premium per EUR</x:v>
      </x:c>
    </x:row>
    <x:row r="12">
      <x:c r="A12" s="34" t="str">
        <x:v>PREM_CALL</x:v>
      </x:c>
      <x:c r="B12" s="38" t="n">
        <x:v>0.01</x:v>
      </x:c>
      <x:c r="C12" t="str">
        <x:v>USD/EUR</x:v>
      </x:c>
      <x:c r="D12" t="str">
        <x:v>Approved dealer call premium</x:v>
      </x:c>
      <x:c r="E12" t="str">
        <x:v>Indicative</x:v>
      </x:c>
      <x:c r="F12" t="str">
        <x:v>Call premium per EUR</x:v>
      </x:c>
    </x:row>
    <x:row r="13">
      <x:c r="A13" s="34" t="str">
        <x:v>T_DAYS</x:v>
      </x:c>
      <x:c r="B13" s="42" t="n">
        <x:v>365</x:v>
      </x:c>
      <x:c r="C13" t="str">
        <x:v>Days</x:v>
      </x:c>
      <x:c r="D13" t="str">
        <x:v>Settlement date minus valuation date</x:v>
      </x:c>
      <x:c r="E13" t="str">
        <x:v>Indicative</x:v>
      </x:c>
      <x:c r="F13" t="str">
        <x:v>Days to settlement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</x:cols>
  <x:sheetData>
    <x:row r="1" ht="28" customHeight="1">
      <x:c r="A1" s="5" t="str">
        <x:v>Forward Hedge</x:v>
      </x:c>
      <x:c r="B1" s="5"/>
      <x:c r="C1" s="5"/>
      <x:c r="D1" s="5"/>
    </x:row>
    <x:row r="3">
      <x:c r="A3" s="18" t="str">
        <x:v>Metric</x:v>
      </x:c>
      <x:c r="B3" s="18" t="str">
        <x:v>Value</x:v>
      </x:c>
    </x:row>
    <x:row r="4">
      <x:c r="A4" t="str">
        <x:v>Foreign receivable (EUR)</x:v>
      </x:c>
      <x:c r="B4" s="50" t="n">
        <x:f>FC_AMT</x:f>
        <x:v>4500000</x:v>
      </x:c>
    </x:row>
    <x:row r="5">
      <x:c r="A5" t="str">
        <x:v>Unhedged proceeds at S0_in (USD)</x:v>
      </x:c>
      <x:c r="B5" s="50" t="n">
        <x:f>FC_AMT*S0_in</x:f>
        <x:v>4950000</x:v>
      </x:c>
    </x:row>
    <x:row r="6">
      <x:c r="A6" t="str">
        <x:v>Forward proceeds (USD)</x:v>
      </x:c>
      <x:c r="B6" s="51" t="n">
        <x:f>FC_AMT*F0_in</x:f>
        <x:v>5057100</x:v>
      </x:c>
    </x:row>
    <x:row r="7">
      <x:c r="A7" t="str">
        <x:v>Locked forward rate (USD/EUR)</x:v>
      </x:c>
      <x:c r="B7" s="54" t="n">
        <x:f>F0_in</x:f>
        <x:v>1.1238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0" hidden="0" customWidth="1"/>
  </x:cols>
  <x:sheetData>
    <x:row r="1" ht="28" customHeight="1">
      <x:c r="A1" s="44" t="str">
        <x:v>Money-Market Hedge — Three Explicit Steps</x:v>
      </x:c>
      <x:c r="B1" s="44"/>
      <x:c r="C1" s="44"/>
      <x:c r="D1" s="5"/>
      <x:c r="E1" s="5"/>
    </x:row>
    <x:row r="3">
      <x:c r="A3" s="18" t="str">
        <x:v>Step / Check</x:v>
      </x:c>
      <x:c r="B3" s="18" t="str">
        <x:v>Formula Result</x:v>
      </x:c>
      <x:c r="C3" s="18" t="str">
        <x:v>Explanation</x:v>
      </x:c>
    </x:row>
    <x:row r="4">
      <x:c r="A4" t="str">
        <x:v>1. FC_Borrow (EUR today)</x:v>
      </x:c>
      <x:c r="B4" s="56" t="n">
        <x:f>FC_AMT/(1+R_FC*T_DAYS/360)</x:f>
        <x:v>4362872.493704805</x:v>
      </x:c>
      <x:c r="C4" t="str">
        <x:v>PV of EUR receivable</x:v>
      </x:c>
    </x:row>
    <x:row r="5">
      <x:c r="A5" t="str">
        <x:v>Loan repayment at settlement</x:v>
      </x:c>
      <x:c r="B5" s="56" t="n">
        <x:f>B4*(1+R_FC*T_DAYS/360)</x:f>
        <x:v>4500000</x:v>
      </x:c>
      <x:c r="C5" t="str">
        <x:v>Must equal FC_AMT</x:v>
      </x:c>
    </x:row>
    <x:row r="6">
      <x:c r="A6" t="str">
        <x:v>2. USD_Now</x:v>
      </x:c>
      <x:c r="B6" s="56" t="n">
        <x:f>B4*S0_in</x:f>
        <x:v>4799159.743075286</x:v>
      </x:c>
      <x:c r="C6" t="str">
        <x:v>FC_Borrow × S0_in</x:v>
      </x:c>
    </x:row>
    <x:row r="7">
      <x:c r="A7" t="str">
        <x:v>3. MM_Proceeds</x:v>
      </x:c>
      <x:c r="B7" s="57" t="n">
        <x:f>B6*(1+R_USD*T_DAYS/360)</x:f>
        <x:v>5057047.924269152</x:v>
      </x:c>
      <x:c r="C7" t="str">
        <x:v>USD_Now invested to settlement</x:v>
      </x:c>
    </x:row>
    <x:row r="8">
      <x:c r="A8" t="str">
        <x:v>Forward_Proceeds comparison</x:v>
      </x:c>
      <x:c r="B8" s="56" t="n">
        <x:f>FC_AMT*F0_in</x:f>
        <x:v>5057100</x:v>
      </x:c>
      <x:c r="C8" t="str">
        <x:v>FC_AMT × F0_in</x:v>
      </x:c>
    </x:row>
    <x:row r="9">
      <x:c r="A9" t="str">
        <x:v>Difference: MM - Forward</x:v>
      </x:c>
      <x:c r="B9" s="56" t="n">
        <x:f>B7-B8</x:f>
        <x:v>-52.07573084812611</x:v>
      </x:c>
      <x:c r="C9" t="str">
        <x:v>Should be small with rounded indicative F0_in</x:v>
      </x:c>
    </x:row>
    <x:row r="10">
      <x:c r="A10" t="str">
        <x:v>F_Implied</x:v>
      </x:c>
      <x:c r="B10" s="60" t="n">
        <x:f>S0_in*(1+R_USD*T_DAYS/360)/(1+R_FC*T_DAYS/360)</x:f>
        <x:v>1.1237884276153671</x:v>
      </x:c>
      <x:c r="C10" t="str">
        <x:v>Covered interest parity</x:v>
      </x:c>
    </x:row>
    <x:row r="11">
      <x:c r="A11" t="str">
        <x:v>Difference: F_Implied - F0_in</x:v>
      </x:c>
      <x:c r="B11" s="60" t="n">
        <x:f>B10-F0_in</x:f>
        <x:v>-0.000011572384632785315</x:v>
      </x:c>
      <x:c r="C11" t="str">
        <x:v>Parity gap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2" hidden="0" customWidth="1"/>
  </x:cols>
  <x:sheetData>
    <x:row r="1" ht="28" customHeight="1">
      <x:c r="A1" s="44" t="str">
        <x:v>Options Hedge — Put, Call, Collar</x:v>
      </x:c>
      <x:c r="B1" s="44"/>
      <x:c r="C1" s="44"/>
      <x:c r="D1" s="5"/>
      <x:c r="E1" s="5"/>
    </x:row>
    <x:row r="3">
      <x:c r="A3" s="18" t="str">
        <x:v>Metric</x:v>
      </x:c>
      <x:c r="B3" s="18" t="str">
        <x:v>Value</x:v>
      </x:c>
      <x:c r="C3" s="18" t="str">
        <x:v>Logic</x:v>
      </x:c>
    </x:row>
    <x:row r="4">
      <x:c r="A4" t="str">
        <x:v>Scenario settlement spot S_T</x:v>
      </x:c>
      <x:c r="B4" s="54" t="n">
        <x:f>S0_in</x:f>
        <x:v>1.1</x:v>
      </x:c>
      <x:c r="C4" t="str">
        <x:v>Base scenario on this tab = S0_in</x:v>
      </x:c>
    </x:row>
    <x:row r="5">
      <x:c r="A5" t="str">
        <x:v>Put_Effective_Rate</x:v>
      </x:c>
      <x:c r="B5" s="54" t="n">
        <x:f>MAX(B4,K_PUT)</x:f>
        <x:v>1.1</x:v>
      </x:c>
      <x:c r="C5" t="str">
        <x:v>MAX(S_T, K_PUT)</x:v>
      </x:c>
    </x:row>
    <x:row r="6">
      <x:c r="A6" t="str">
        <x:v>Put_Gross_Proceeds</x:v>
      </x:c>
      <x:c r="B6" s="56" t="n">
        <x:f>FC_AMT*B5</x:f>
        <x:v>4950000</x:v>
      </x:c>
      <x:c r="C6" t="str">
        <x:v>FC_AMT × Put_Effective_Rate</x:v>
      </x:c>
    </x:row>
    <x:row r="7">
      <x:c r="A7" t="str">
        <x:v>Put_Premium_Cost</x:v>
      </x:c>
      <x:c r="B7" s="56" t="n">
        <x:f>FC_AMT*PREM_PUT</x:f>
        <x:v>90000</x:v>
      </x:c>
      <x:c r="C7" t="str">
        <x:v>FC_AMT × PREM_PUT</x:v>
      </x:c>
    </x:row>
    <x:row r="8">
      <x:c r="A8" t="str">
        <x:v>Put_Net_Proceeds</x:v>
      </x:c>
      <x:c r="B8" s="57" t="n">
        <x:f>B6-B7</x:f>
        <x:v>4860000</x:v>
      </x:c>
      <x:c r="C8" t="str">
        <x:v>Gross proceeds - premium</x:v>
      </x:c>
    </x:row>
    <x:row r="9">
      <x:c r="A9" t="str">
        <x:v>Call_Effective_Rate</x:v>
      </x:c>
      <x:c r="B9" s="56" t="n">
        <x:f>MIN(B4,K_CALL)</x:f>
        <x:v>1.1</x:v>
      </x:c>
      <x:c r="C9" t="str">
        <x:v>MIN(S_T, K_CALL)</x:v>
      </x:c>
    </x:row>
    <x:row r="10">
      <x:c r="A10" t="str">
        <x:v>Call_Gross_Proceeds</x:v>
      </x:c>
      <x:c r="B10" s="56" t="n">
        <x:f>FC_AMT*B9</x:f>
        <x:v>4950000</x:v>
      </x:c>
      <x:c r="C10" t="str">
        <x:v>FC_AMT × Call_Effective_Rate</x:v>
      </x:c>
    </x:row>
    <x:row r="11">
      <x:c r="A11" t="str">
        <x:v>Call_Premium_Received</x:v>
      </x:c>
      <x:c r="B11" s="56" t="n">
        <x:f>FC_AMT*PREM_CALL</x:f>
        <x:v>45000</x:v>
      </x:c>
      <x:c r="C11" t="str">
        <x:v>FC_AMT × PREM_CALL</x:v>
      </x:c>
    </x:row>
    <x:row r="12">
      <x:c r="A12" t="str">
        <x:v>Call_Net_Proceeds</x:v>
      </x:c>
      <x:c r="B12" s="57" t="n">
        <x:f>B10+B11</x:f>
        <x:v>4995000</x:v>
      </x:c>
      <x:c r="C12" t="str">
        <x:v>Gross proceeds + premium</x:v>
      </x:c>
    </x:row>
    <x:row r="13">
      <x:c r="A13" t="str">
        <x:v>Collar_Net_Proceeds</x:v>
      </x:c>
      <x:c r="B13" s="57" t="n">
        <x:f>FC_AMT*MIN(MAX(B4,K_PUT),K_CALL)-FC_AMT*PREM_PUT+FC_AMT*PREM_CALL</x:f>
        <x:v>4905000</x:v>
      </x:c>
      <x:c r="C13" t="str">
        <x:v>Floor at K_PUT, cap at K_CALL, net premium</x:v>
      </x:c>
    </x:row>
    <x:row r="14">
      <x:c r="A14" t="str">
        <x:v>Net collar premium cost</x:v>
      </x:c>
      <x:c r="B14" s="56" t="n">
        <x:f>FC_AMT*(PREM_PUT-PREM_CALL)</x:f>
        <x:v>45000</x:v>
      </x:c>
      <x:c r="C14" t="str">
        <x:v>Put premium - call premium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5" t="str">
        <x:v>Sensitivity Analysis — EUR/USD Settlement Spot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8" t="str">
        <x:v>S0 Multiplier</x:v>
      </x:c>
      <x:c r="B3" s="18" t="str">
        <x:v>S_T (USD/EUR)</x:v>
      </x:c>
      <x:c r="C3" s="18" t="str">
        <x:v>Unhedged</x:v>
      </x:c>
      <x:c r="D3" s="18" t="str">
        <x:v>Forward</x:v>
      </x:c>
      <x:c r="E3" s="18" t="str">
        <x:v>Money Market</x:v>
      </x:c>
      <x:c r="F3" s="18" t="str">
        <x:v>Put Net</x:v>
      </x:c>
      <x:c r="G3" s="18" t="str">
        <x:v>Call Net</x:v>
      </x:c>
      <x:c r="H3" s="18" t="str">
        <x:v>Collar Net</x:v>
      </x:c>
    </x:row>
    <x:row r="4">
      <x:c r="A4" s="62" t="n">
        <x:f>95%</x:f>
        <x:v>0.95</x:v>
      </x:c>
      <x:c r="B4" s="54" t="n">
        <x:f>S0_in*A4</x:f>
        <x:v>1.045</x:v>
      </x:c>
      <x:c r="C4" s="50" t="n">
        <x:f>FC_AMT*B4</x:f>
        <x:v>4702500</x:v>
      </x:c>
      <x:c r="D4" s="50" t="n">
        <x:f>FC_AMT*F0_in</x:f>
        <x:v>5057100</x:v>
      </x:c>
      <x:c r="E4" s="50" t="n">
        <x:f>(FC_AMT/(1+R_FC*T_DAYS/360))*S0_in*(1+R_USD*T_DAYS/360)</x:f>
        <x:v>5057047.924269152</x:v>
      </x:c>
      <x:c r="F4" s="50" t="n">
        <x:f>FC_AMT*MAX(B4,K_PUT)-FC_AMT*PREM_PUT</x:f>
        <x:v>4860000</x:v>
      </x:c>
      <x:c r="G4" s="50" t="n">
        <x:f>FC_AMT*MIN(B4,K_CALL)+FC_AMT*PREM_CALL</x:f>
        <x:v>4747500</x:v>
      </x:c>
      <x:c r="H4" s="50" t="n">
        <x:f>FC_AMT*MIN(MAX(B4,K_PUT),K_CALL)-FC_AMT*PREM_PUT+FC_AMT*PREM_CALL</x:f>
        <x:v>4905000</x:v>
      </x:c>
    </x:row>
    <x:row r="5">
      <x:c r="A5" s="62" t="n">
        <x:f>A4+1%</x:f>
        <x:v>0.96</x:v>
      </x:c>
      <x:c r="B5" s="54" t="n">
        <x:f>S0_in*A5</x:f>
        <x:v>1.056</x:v>
      </x:c>
      <x:c r="C5" s="50" t="n">
        <x:f>FC_AMT*B5</x:f>
        <x:v>4752000</x:v>
      </x:c>
      <x:c r="D5" s="50" t="n">
        <x:f>FC_AMT*F0_in</x:f>
        <x:v>5057100</x:v>
      </x:c>
      <x:c r="E5" s="50" t="n">
        <x:f>(FC_AMT/(1+R_FC*T_DAYS/360))*S0_in*(1+R_USD*T_DAYS/360)</x:f>
        <x:v>5057047.924269152</x:v>
      </x:c>
      <x:c r="F5" s="50" t="n">
        <x:f>FC_AMT*MAX(B5,K_PUT)-FC_AMT*PREM_PUT</x:f>
        <x:v>4860000</x:v>
      </x:c>
      <x:c r="G5" s="50" t="n">
        <x:f>FC_AMT*MIN(B5,K_CALL)+FC_AMT*PREM_CALL</x:f>
        <x:v>4797000</x:v>
      </x:c>
      <x:c r="H5" s="50" t="n">
        <x:f>FC_AMT*MIN(MAX(B5,K_PUT),K_CALL)-FC_AMT*PREM_PUT+FC_AMT*PREM_CALL</x:f>
        <x:v>4905000</x:v>
      </x:c>
    </x:row>
    <x:row r="6">
      <x:c r="A6" s="62" t="n">
        <x:f>A5+1%</x:f>
        <x:v>0.97</x:v>
      </x:c>
      <x:c r="B6" s="54" t="n">
        <x:f>S0_in*A6</x:f>
        <x:v>1.067</x:v>
      </x:c>
      <x:c r="C6" s="50" t="n">
        <x:f>FC_AMT*B6</x:f>
        <x:v>4801500</x:v>
      </x:c>
      <x:c r="D6" s="50" t="n">
        <x:f>FC_AMT*F0_in</x:f>
        <x:v>5057100</x:v>
      </x:c>
      <x:c r="E6" s="50" t="n">
        <x:f>(FC_AMT/(1+R_FC*T_DAYS/360))*S0_in*(1+R_USD*T_DAYS/360)</x:f>
        <x:v>5057047.924269152</x:v>
      </x:c>
      <x:c r="F6" s="50" t="n">
        <x:f>FC_AMT*MAX(B6,K_PUT)-FC_AMT*PREM_PUT</x:f>
        <x:v>4860000</x:v>
      </x:c>
      <x:c r="G6" s="50" t="n">
        <x:f>FC_AMT*MIN(B6,K_CALL)+FC_AMT*PREM_CALL</x:f>
        <x:v>4846500</x:v>
      </x:c>
      <x:c r="H6" s="50" t="n">
        <x:f>FC_AMT*MIN(MAX(B6,K_PUT),K_CALL)-FC_AMT*PREM_PUT+FC_AMT*PREM_CALL</x:f>
        <x:v>4905000</x:v>
      </x:c>
    </x:row>
    <x:row r="7">
      <x:c r="A7" s="62" t="n">
        <x:f>A6+1%</x:f>
        <x:v>0.98</x:v>
      </x:c>
      <x:c r="B7" s="54" t="n">
        <x:f>S0_in*A7</x:f>
        <x:v>1.078</x:v>
      </x:c>
      <x:c r="C7" s="50" t="n">
        <x:f>FC_AMT*B7</x:f>
        <x:v>4851000</x:v>
      </x:c>
      <x:c r="D7" s="50" t="n">
        <x:f>FC_AMT*F0_in</x:f>
        <x:v>5057100</x:v>
      </x:c>
      <x:c r="E7" s="50" t="n">
        <x:f>(FC_AMT/(1+R_FC*T_DAYS/360))*S0_in*(1+R_USD*T_DAYS/360)</x:f>
        <x:v>5057047.924269152</x:v>
      </x:c>
      <x:c r="F7" s="50" t="n">
        <x:f>FC_AMT*MAX(B7,K_PUT)-FC_AMT*PREM_PUT</x:f>
        <x:v>4860000</x:v>
      </x:c>
      <x:c r="G7" s="50" t="n">
        <x:f>FC_AMT*MIN(B7,K_CALL)+FC_AMT*PREM_CALL</x:f>
        <x:v>4896000</x:v>
      </x:c>
      <x:c r="H7" s="50" t="n">
        <x:f>FC_AMT*MIN(MAX(B7,K_PUT),K_CALL)-FC_AMT*PREM_PUT+FC_AMT*PREM_CALL</x:f>
        <x:v>4905000</x:v>
      </x:c>
    </x:row>
    <x:row r="8">
      <x:c r="A8" s="62" t="n">
        <x:f>A7+1%</x:f>
        <x:v>0.99</x:v>
      </x:c>
      <x:c r="B8" s="54" t="n">
        <x:f>S0_in*A8</x:f>
        <x:v>1.089</x:v>
      </x:c>
      <x:c r="C8" s="50" t="n">
        <x:f>FC_AMT*B8</x:f>
        <x:v>4900500</x:v>
      </x:c>
      <x:c r="D8" s="50" t="n">
        <x:f>FC_AMT*F0_in</x:f>
        <x:v>5057100</x:v>
      </x:c>
      <x:c r="E8" s="50" t="n">
        <x:f>(FC_AMT/(1+R_FC*T_DAYS/360))*S0_in*(1+R_USD*T_DAYS/360)</x:f>
        <x:v>5057047.924269152</x:v>
      </x:c>
      <x:c r="F8" s="50" t="n">
        <x:f>FC_AMT*MAX(B8,K_PUT)-FC_AMT*PREM_PUT</x:f>
        <x:v>4860000</x:v>
      </x:c>
      <x:c r="G8" s="50" t="n">
        <x:f>FC_AMT*MIN(B8,K_CALL)+FC_AMT*PREM_CALL</x:f>
        <x:v>4945500</x:v>
      </x:c>
      <x:c r="H8" s="50" t="n">
        <x:f>FC_AMT*MIN(MAX(B8,K_PUT),K_CALL)-FC_AMT*PREM_PUT+FC_AMT*PREM_CALL</x:f>
        <x:v>4905000</x:v>
      </x:c>
    </x:row>
    <x:row r="9">
      <x:c r="A9" s="62" t="n">
        <x:f>A8+1%</x:f>
        <x:v>1</x:v>
      </x:c>
      <x:c r="B9" s="54" t="n">
        <x:f>S0_in*A9</x:f>
        <x:v>1.1</x:v>
      </x:c>
      <x:c r="C9" s="50" t="n">
        <x:f>FC_AMT*B9</x:f>
        <x:v>4950000</x:v>
      </x:c>
      <x:c r="D9" s="50" t="n">
        <x:f>FC_AMT*F0_in</x:f>
        <x:v>5057100</x:v>
      </x:c>
      <x:c r="E9" s="50" t="n">
        <x:f>(FC_AMT/(1+R_FC*T_DAYS/360))*S0_in*(1+R_USD*T_DAYS/360)</x:f>
        <x:v>5057047.924269152</x:v>
      </x:c>
      <x:c r="F9" s="50" t="n">
        <x:f>FC_AMT*MAX(B9,K_PUT)-FC_AMT*PREM_PUT</x:f>
        <x:v>4860000</x:v>
      </x:c>
      <x:c r="G9" s="50" t="n">
        <x:f>FC_AMT*MIN(B9,K_CALL)+FC_AMT*PREM_CALL</x:f>
        <x:v>4995000</x:v>
      </x:c>
      <x:c r="H9" s="50" t="n">
        <x:f>FC_AMT*MIN(MAX(B9,K_PUT),K_CALL)-FC_AMT*PREM_PUT+FC_AMT*PREM_CALL</x:f>
        <x:v>4905000</x:v>
      </x:c>
    </x:row>
    <x:row r="10">
      <x:c r="A10" s="62" t="n">
        <x:f>A9+1%</x:f>
        <x:v>1.01</x:v>
      </x:c>
      <x:c r="B10" s="54" t="n">
        <x:f>S0_in*A10</x:f>
        <x:v>1.1110000000000002</x:v>
      </x:c>
      <x:c r="C10" s="50" t="n">
        <x:f>FC_AMT*B10</x:f>
        <x:v>4999500.000000001</x:v>
      </x:c>
      <x:c r="D10" s="50" t="n">
        <x:f>FC_AMT*F0_in</x:f>
        <x:v>5057100</x:v>
      </x:c>
      <x:c r="E10" s="50" t="n">
        <x:f>(FC_AMT/(1+R_FC*T_DAYS/360))*S0_in*(1+R_USD*T_DAYS/360)</x:f>
        <x:v>5057047.924269152</x:v>
      </x:c>
      <x:c r="F10" s="50" t="n">
        <x:f>FC_AMT*MAX(B10,K_PUT)-FC_AMT*PREM_PUT</x:f>
        <x:v>4909500.000000001</x:v>
      </x:c>
      <x:c r="G10" s="50" t="n">
        <x:f>FC_AMT*MIN(B10,K_CALL)+FC_AMT*PREM_CALL</x:f>
        <x:v>5044500.000000001</x:v>
      </x:c>
      <x:c r="H10" s="50" t="n">
        <x:f>FC_AMT*MIN(MAX(B10,K_PUT),K_CALL)-FC_AMT*PREM_PUT+FC_AMT*PREM_CALL</x:f>
        <x:v>4954500.000000001</x:v>
      </x:c>
    </x:row>
    <x:row r="11">
      <x:c r="A11" s="62" t="n">
        <x:f>A10+1%</x:f>
        <x:v>1.02</x:v>
      </x:c>
      <x:c r="B11" s="54" t="n">
        <x:f>S0_in*A11</x:f>
        <x:v>1.122</x:v>
      </x:c>
      <x:c r="C11" s="50" t="n">
        <x:f>FC_AMT*B11</x:f>
        <x:v>5049000.000000001</x:v>
      </x:c>
      <x:c r="D11" s="50" t="n">
        <x:f>FC_AMT*F0_in</x:f>
        <x:v>5057100</x:v>
      </x:c>
      <x:c r="E11" s="50" t="n">
        <x:f>(FC_AMT/(1+R_FC*T_DAYS/360))*S0_in*(1+R_USD*T_DAYS/360)</x:f>
        <x:v>5057047.924269152</x:v>
      </x:c>
      <x:c r="F11" s="50" t="n">
        <x:f>FC_AMT*MAX(B11,K_PUT)-FC_AMT*PREM_PUT</x:f>
        <x:v>4959000.000000001</x:v>
      </x:c>
      <x:c r="G11" s="50" t="n">
        <x:f>FC_AMT*MIN(B11,K_CALL)+FC_AMT*PREM_CALL</x:f>
        <x:v>5094000.000000001</x:v>
      </x:c>
      <x:c r="H11" s="50" t="n">
        <x:f>FC_AMT*MIN(MAX(B11,K_PUT),K_CALL)-FC_AMT*PREM_PUT+FC_AMT*PREM_CALL</x:f>
        <x:v>5004000.000000001</x:v>
      </x:c>
    </x:row>
    <x:row r="12">
      <x:c r="A12" s="62" t="n">
        <x:f>A11+1%</x:f>
        <x:v>1.03</x:v>
      </x:c>
      <x:c r="B12" s="54" t="n">
        <x:f>S0_in*A12</x:f>
        <x:v>1.1330000000000002</x:v>
      </x:c>
      <x:c r="C12" s="50" t="n">
        <x:f>FC_AMT*B12</x:f>
        <x:v>5098500.000000001</x:v>
      </x:c>
      <x:c r="D12" s="50" t="n">
        <x:f>FC_AMT*F0_in</x:f>
        <x:v>5057100</x:v>
      </x:c>
      <x:c r="E12" s="50" t="n">
        <x:f>(FC_AMT/(1+R_FC*T_DAYS/360))*S0_in*(1+R_USD*T_DAYS/360)</x:f>
        <x:v>5057047.924269152</x:v>
      </x:c>
      <x:c r="F12" s="50" t="n">
        <x:f>FC_AMT*MAX(B12,K_PUT)-FC_AMT*PREM_PUT</x:f>
        <x:v>5008500.000000001</x:v>
      </x:c>
      <x:c r="G12" s="50" t="n">
        <x:f>FC_AMT*MIN(B12,K_CALL)+FC_AMT*PREM_CALL</x:f>
        <x:v>5143500.000000001</x:v>
      </x:c>
      <x:c r="H12" s="50" t="n">
        <x:f>FC_AMT*MIN(MAX(B12,K_PUT),K_CALL)-FC_AMT*PREM_PUT+FC_AMT*PREM_CALL</x:f>
        <x:v>5053500.000000001</x:v>
      </x:c>
    </x:row>
    <x:row r="13">
      <x:c r="A13" s="62" t="n">
        <x:f>A12+1%</x:f>
        <x:v>1.04</x:v>
      </x:c>
      <x:c r="B13" s="54" t="n">
        <x:f>S0_in*A13</x:f>
        <x:v>1.1440000000000001</x:v>
      </x:c>
      <x:c r="C13" s="50" t="n">
        <x:f>FC_AMT*B13</x:f>
        <x:v>5148000.000000001</x:v>
      </x:c>
      <x:c r="D13" s="50" t="n">
        <x:f>FC_AMT*F0_in</x:f>
        <x:v>5057100</x:v>
      </x:c>
      <x:c r="E13" s="50" t="n">
        <x:f>(FC_AMT/(1+R_FC*T_DAYS/360))*S0_in*(1+R_USD*T_DAYS/360)</x:f>
        <x:v>5057047.924269152</x:v>
      </x:c>
      <x:c r="F13" s="50" t="n">
        <x:f>FC_AMT*MAX(B13,K_PUT)-FC_AMT*PREM_PUT</x:f>
        <x:v>5058000.000000001</x:v>
      </x:c>
      <x:c r="G13" s="50" t="n">
        <x:f>FC_AMT*MIN(B13,K_CALL)+FC_AMT*PREM_CALL</x:f>
        <x:v>5193000.000000001</x:v>
      </x:c>
      <x:c r="H13" s="50" t="n">
        <x:f>FC_AMT*MIN(MAX(B13,K_PUT),K_CALL)-FC_AMT*PREM_PUT+FC_AMT*PREM_CALL</x:f>
        <x:v>5103000.000000001</x:v>
      </x:c>
    </x:row>
    <x:row r="14">
      <x:c r="A14" s="62" t="n">
        <x:f>A13+1%</x:f>
        <x:v>1.05</x:v>
      </x:c>
      <x:c r="B14" s="54" t="n">
        <x:f>S0_in*A14</x:f>
        <x:v>1.1550000000000002</x:v>
      </x:c>
      <x:c r="C14" s="50" t="n">
        <x:f>FC_AMT*B14</x:f>
        <x:v>5197500.000000001</x:v>
      </x:c>
      <x:c r="D14" s="50" t="n">
        <x:f>FC_AMT*F0_in</x:f>
        <x:v>5057100</x:v>
      </x:c>
      <x:c r="E14" s="50" t="n">
        <x:f>(FC_AMT/(1+R_FC*T_DAYS/360))*S0_in*(1+R_USD*T_DAYS/360)</x:f>
        <x:v>5057047.924269152</x:v>
      </x:c>
      <x:c r="F14" s="50" t="n">
        <x:f>FC_AMT*MAX(B14,K_PUT)-FC_AMT*PREM_PUT</x:f>
        <x:v>5107500.000000001</x:v>
      </x:c>
      <x:c r="G14" s="50" t="n">
        <x:f>FC_AMT*MIN(B14,K_CALL)+FC_AMT*PREM_CALL</x:f>
        <x:v>5220000</x:v>
      </x:c>
      <x:c r="H14" s="50" t="n">
        <x:f>FC_AMT*MIN(MAX(B14,K_PUT),K_CALL)-FC_AMT*PREM_PUT+FC_AMT*PREM_CALL</x:f>
        <x:v>5130000</x:v>
      </x:c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834ca66aa6e8458d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7" hidden="0" customWidth="1"/>
    <x:col min="4" max="4" width="50" hidden="0" customWidth="1"/>
  </x:cols>
  <x:sheetData>
    <x:row r="1" ht="28" customHeight="1">
      <x:c r="A1" s="44" t="str">
        <x:v>Validation Checks</x:v>
      </x:c>
      <x:c r="B1" s="44"/>
      <x:c r="C1" s="44"/>
      <x:c r="D1" s="44"/>
      <x:c r="E1" s="5"/>
    </x:row>
    <x:row r="3">
      <x:c r="A3" s="18" t="str">
        <x:v>Check</x:v>
      </x:c>
      <x:c r="B3" s="18" t="str">
        <x:v>Result</x:v>
      </x:c>
      <x:c r="C3" s="18" t="str">
        <x:v>Tolerance / Expectation</x:v>
      </x:c>
      <x:c r="D3" s="18" t="str">
        <x:v>Evidence</x:v>
      </x:c>
    </x:row>
    <x:row r="4">
      <x:c r="A4" t="str">
        <x:v>Forward formula</x:v>
      </x:c>
      <x:c r="B4" s="64" t="b">
        <x:f>Forward_Hedge!B6=FC_AMT*F0_in</x:f>
        <x:v>1</x:v>
      </x:c>
      <x:c r="C4" t="str">
        <x:v>TRUE</x:v>
      </x:c>
      <x:c r="D4" t="str">
        <x:v>Forward_Proceeds = FC_AMT × F0_in</x:v>
      </x:c>
    </x:row>
    <x:row r="5">
      <x:c r="A5" t="str">
        <x:v>Loan repayment</x:v>
      </x:c>
      <x:c r="B5" s="64" t="b">
        <x:f>ABS(Money_Market_Hedge!B5-FC_AMT)&lt;0.01</x:f>
        <x:v>1</x:v>
      </x:c>
      <x:c r="C5" t="str">
        <x:v>TRUE</x:v>
      </x:c>
      <x:c r="D5" t="str">
        <x:v>FC_Borrow + EUR interest repays FC_AMT</x:v>
      </x:c>
    </x:row>
    <x:row r="6">
      <x:c r="A6" t="str">
        <x:v>Parity check</x:v>
      </x:c>
      <x:c r="B6" s="64" t="b">
        <x:f>ABS(Money_Market_Hedge!B10-F0_in)&lt;0.0001</x:f>
        <x:v>1</x:v>
      </x:c>
      <x:c r="C6" t="str">
        <x:v>TRUE</x:v>
      </x:c>
      <x:c r="D6" t="str">
        <x:v>F_Implied approximately equals F0_in</x:v>
      </x:c>
    </x:row>
    <x:row r="7">
      <x:c r="A7" t="str">
        <x:v>Forward vs money market</x:v>
      </x:c>
      <x:c r="B7" s="64" t="b">
        <x:f>ABS(Money_Market_Hedge!B7-Forward_Hedge!B6)&lt;100</x:f>
        <x:v>1</x:v>
      </x:c>
      <x:c r="C7" t="str">
        <x:v>TRUE</x:v>
      </x:c>
      <x:c r="D7" t="str">
        <x:v>Proceeds approximately equal</x:v>
      </x:c>
    </x:row>
    <x:row r="8">
      <x:c r="A8" t="str">
        <x:v>Put floor</x:v>
      </x:c>
      <x:c r="B8" s="64" t="b">
        <x:f>MAX(0.95*S0_in,K_PUT)=K_PUT</x:f>
        <x:v>1</x:v>
      </x:c>
      <x:c r="C8" t="str">
        <x:v>TRUE</x:v>
      </x:c>
      <x:c r="D8" t="str">
        <x:v>Below K_PUT, effective rate = K_PUT</x:v>
      </x:c>
    </x:row>
    <x:row r="9">
      <x:c r="A9" t="str">
        <x:v>Put upside</x:v>
      </x:c>
      <x:c r="B9" s="64" t="b">
        <x:f>MAX(1.05*S0_in,K_PUT)=1.05*S0_in</x:f>
        <x:v>1</x:v>
      </x:c>
      <x:c r="C9" t="str">
        <x:v>TRUE</x:v>
      </x:c>
      <x:c r="D9" t="str">
        <x:v>Above K_PUT, effective rate = S_T</x:v>
      </x:c>
    </x:row>
    <x:row r="10">
      <x:c r="A10" t="str">
        <x:v>Call cap</x:v>
      </x:c>
      <x:c r="B10" s="64" t="b">
        <x:f>MIN(1.05*S0_in,K_CALL)=K_CALL</x:f>
        <x:v>1</x:v>
      </x:c>
      <x:c r="C10" t="str">
        <x:v>TRUE</x:v>
      </x:c>
      <x:c r="D10" t="str">
        <x:v>Above K_CALL, effective rate = K_CALL</x:v>
      </x:c>
    </x:row>
    <x:row r="11">
      <x:c r="A11" t="str">
        <x:v>Call below cap</x:v>
      </x:c>
      <x:c r="B11" s="64" t="b">
        <x:f>MIN(0.95*S0_in,K_CALL)=0.95*S0_in</x:f>
        <x:v>1</x:v>
      </x:c>
      <x:c r="C11" t="str">
        <x:v>TRUE</x:v>
      </x:c>
      <x:c r="D11" t="str">
        <x:v>Below K_CALL, effective rate = S_T</x:v>
      </x:c>
    </x:row>
    <x:row r="12">
      <x:c r="A12" t="str">
        <x:v>Sensitivity rows</x:v>
      </x:c>
      <x:c r="B12" s="64" t="b">
        <x:f>AND(COUNTA(Sensitivity!A4:A14)=11,Sensitivity!A4=0.95,Sensitivity!A14=1.05)</x:f>
        <x:v>1</x:v>
      </x:c>
      <x:c r="C12" t="str">
        <x:v>TRUE</x:v>
      </x:c>
      <x:c r="D12" t="str">
        <x:v>Exactly 11 scenarios from 0.95× to 1.05×</x:v>
      </x:c>
    </x:row>
    <x:row r="13">
      <x:c r="A13" t="str">
        <x:v>Named ranges</x:v>
      </x:c>
      <x:c r="B13" s="64" t="b">
        <x:f>AND(FC_AMT&gt;0,S0_in&gt;0,F0_in&gt;0,R_USD&gt;=0,R_FC&gt;=0,K_PUT&gt;0,K_CALL&gt;0,PREM_PUT&gt;=0,PREM_CALL&gt;=0,T_DAYS&gt;0)</x:f>
        <x:v>1</x:v>
      </x:c>
      <x:c r="C13" t="str">
        <x:v>TRUE</x:v>
      </x:c>
      <x:c r="D13" t="str">
        <x:v>All ten contract names resolve</x:v>
      </x:c>
    </x:row>
    <x:row r="14">
      <x:c r="A14" t="str">
        <x:v>Formula integrity</x:v>
      </x:c>
      <x:c r="B14" s="64" t="b">
        <x:f>AND(Forward_Hedge!B6=FC_AMT*F0_in,Money_Market_Hedge!B7=(FC_AMT/(1+R_FC*T_DAYS/360))*S0_in*(1+R_USD*T_DAYS/360),Options_Hedge!B8=FC_AMT*MAX(Options_Hedge!B4,K_PUT)-FC_AMT*PREM_PUT,Sensitivity!C4=FC_AMT*Sensitivity!B4)</x:f>
        <x:v>1</x:v>
      </x:c>
      <x:c r="C14" t="str">
        <x:v>TRUE</x:v>
      </x:c>
      <x:c r="D14" t="str">
        <x:v>Key calculated outputs reconcile to formulas built from named ranges</x:v>
      </x:c>
    </x:row>
    <x:row r="15">
      <x:c r="A15" t="str">
        <x:v>Error check</x:v>
      </x:c>
      <x:c r="B15" s="64" t="b">
        <x:f>AND(ISNUMBER(Forward_Hedge!B6),ISNUMBER(Money_Market_Hedge!B7),ISNUMBER(Options_Hedge!B8),ISNUMBER(Sensitivity!C4))</x:f>
        <x:v>1</x:v>
      </x:c>
      <x:c r="C15" t="str">
        <x:v>TRUE</x:v>
      </x:c>
      <x:c r="D15" t="str">
        <x:v>Key outputs are numeric and contain no spreadsheet error values</x:v>
      </x:c>
    </x:row>
  </x:sheetData>
  <x:mergeCells>
    <x:mergeCell ref="A1:E1"/>
  </x:mergeCells>
  <x:conditionalFormatting sqref="B4:B13">
    <x:cfRule type="expression" dxfId="0" priority="1">
      <x:formula>B4=TRUE</x:formula>
    </x:cfRule>
    <x:cfRule type="expression" dxfId="1" priority="2">
      <x:formula>B4=FALSE</x:formula>
    </x:cfRule>
  </x:conditionalFormatting>
  <x:conditionalFormatting sqref="B14:B15">
    <x:cfRule type="expression" dxfId="2" priority="3">
      <x:formula>B14=TRUE</x:formula>
    </x:cfRule>
    <x:cfRule type="expression" dxfId="3" priority="4">
      <x:formula>B14=FALSE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</x:cols>
  <x:sheetData>
    <x:row r="1" ht="28" customHeight="1">
      <x:c r="A1" s="44" t="str">
        <x:v>Notes &amp; Assumptions</x:v>
      </x:c>
      <x:c r="B1" s="44"/>
      <x:c r="C1" s="5"/>
      <x:c r="D1" s="5"/>
      <x:c r="E1" s="5"/>
      <x:c r="F1" s="5"/>
    </x:row>
    <x:row r="3">
      <x:c r="A3" s="18" t="str">
        <x:v>Assumption / Constraint</x:v>
      </x:c>
      <x:c r="B3" s="18" t="str">
        <x:v>Treatment</x:v>
      </x:c>
    </x:row>
    <x:row r="4">
      <x:c r="A4" s="26" t="str">
        <x:v>Interest basis</x:v>
      </x:c>
      <x:c r="B4" s="26" t="str">
        <x:v>Simple interest, ACT/360</x:v>
      </x:c>
    </x:row>
    <x:row r="5">
      <x:c r="A5" s="26" t="str">
        <x:v>Receivable timing</x:v>
      </x:c>
      <x:c r="B5" s="26" t="str">
        <x:v>Collected in full at settlement</x:v>
      </x:c>
    </x:row>
    <x:row r="6">
      <x:c r="A6" s="26" t="str">
        <x:v>Full-notional execution</x:v>
      </x:c>
      <x:c r="B6" s="26" t="str">
        <x:v>Forward, borrowing, lending, and options assumed executable for full notional</x:v>
      </x:c>
    </x:row>
    <x:row r="7">
      <x:c r="A7" s="26" t="str">
        <x:v>Transaction fees / bid-ask</x:v>
      </x:c>
      <x:c r="B7" s="26" t="str">
        <x:v>Excluded at Stage 3</x:v>
      </x:c>
    </x:row>
    <x:row r="8">
      <x:c r="A8" s="26" t="str">
        <x:v>Taxes / credit / collateral</x:v>
      </x:c>
      <x:c r="B8" s="26" t="str">
        <x:v>Excluded at Stage 3</x:v>
      </x:c>
    </x:row>
    <x:row r="9">
      <x:c r="A9" s="26" t="str">
        <x:v>Parity expectation</x:v>
      </x:c>
      <x:c r="B9" s="26" t="str">
        <x:v>Covered interest parity should hold approximately; small gaps may reflect rounding</x:v>
      </x:c>
    </x:row>
    <x:row r="10">
      <x:c r="A10" s="26" t="str">
        <x:v>Put premium</x:v>
      </x:c>
      <x:c r="B10" s="26" t="str">
        <x:v>Paid regardless of exercise and deducted directly from settlement proceeds</x:v>
      </x:c>
    </x:row>
    <x:row r="11">
      <x:c r="A11" s="26" t="str">
        <x:v>Call premium</x:v>
      </x:c>
      <x:c r="B11" s="26" t="str">
        <x:v>Cash received and added to proceeds</x:v>
      </x:c>
    </x:row>
    <x:row r="12">
      <x:c r="A12" s="26" t="str">
        <x:v>Calculated outputs</x:v>
      </x:c>
      <x:c r="B12" s="26" t="str">
        <x:v>Must be formulas; no pasted result values</x:v>
      </x:c>
    </x:row>
    <x:row r="13">
      <x:c r="A13" s="26" t="str">
        <x:v>Stage 4</x:v>
      </x:c>
      <x:c r="B13" s="26" t="str">
        <x:v>Replace all indicative placeholders with live market data</x:v>
      </x:c>
    </x:row>
  </x:sheetData>
  <x:mergeCells>
    <x:mergeCell ref="A1:F1"/>
  </x:mergeCells>
  <x:pageMargins left="0.7" right="0.7" top="0.75" bottom="0.75" header="0.3" footer="0.3"/>
</x:worksheet>
</file>